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ihn\AppData\Local\Temp\claude\C--Users-juihn-Source-Repos\4da50449-f373-4d59-a192-72dd6ebbb527\scratchpad\"/>
    </mc:Choice>
  </mc:AlternateContent>
  <xr:revisionPtr revIDLastSave="0" documentId="13_ncr:1_{D1DEBCC3-C6C7-4F33-9078-6AB1134CAF39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Balance Sheet" sheetId="1" r:id="rId1"/>
    <sheet name="Cashflow Statement" sheetId="2" r:id="rId2"/>
    <sheet name="Profit and Loss" sheetId="3" r:id="rId3"/>
    <sheet name="Revenue Build" sheetId="4" r:id="rId4"/>
    <sheet name="Cost Build" sheetId="5" r:id="rId5"/>
    <sheet name="Assumptions" sheetId="6" r:id="rId6"/>
  </sheets>
  <definedNames>
    <definedName name="ClosingCash">'Cashflow Statement'!$D$32:$F$32</definedName>
    <definedName name="NetProfit">'Profit and Loss'!$D$35:$F$35</definedName>
    <definedName name="Revenue">'Profit and Loss'!$D$10:$F$10</definedName>
    <definedName name="TaxRate">Assumptions!$D$32</definedName>
    <definedName name="TotalAssets">'Balance Sheet'!$D$20:$F$20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5" l="1"/>
  <c r="F25" i="5" s="1"/>
  <c r="F31" i="3" s="1"/>
  <c r="E24" i="5"/>
  <c r="E25" i="5" s="1"/>
  <c r="E31" i="3" s="1"/>
  <c r="D24" i="5"/>
  <c r="D25" i="5" s="1"/>
  <c r="D31" i="3" s="1"/>
  <c r="F21" i="5"/>
  <c r="E21" i="5"/>
  <c r="D21" i="5"/>
  <c r="F17" i="5"/>
  <c r="E17" i="5"/>
  <c r="D17" i="5"/>
  <c r="F16" i="5"/>
  <c r="F23" i="3" s="1"/>
  <c r="E16" i="5"/>
  <c r="E23" i="3" s="1"/>
  <c r="D16" i="5"/>
  <c r="D23" i="3" s="1"/>
  <c r="D9" i="5"/>
  <c r="E9" i="5" s="1"/>
  <c r="F9" i="5" s="1"/>
  <c r="D8" i="5"/>
  <c r="F14" i="4"/>
  <c r="E14" i="4"/>
  <c r="D14" i="4"/>
  <c r="D13" i="4"/>
  <c r="D9" i="4"/>
  <c r="E9" i="4" s="1"/>
  <c r="F9" i="4" s="1"/>
  <c r="D8" i="4"/>
  <c r="F26" i="3"/>
  <c r="E26" i="3"/>
  <c r="D26" i="3"/>
  <c r="F25" i="3"/>
  <c r="E25" i="3"/>
  <c r="D25" i="3"/>
  <c r="E28" i="2"/>
  <c r="D28" i="2"/>
  <c r="F26" i="2"/>
  <c r="E26" i="2"/>
  <c r="F25" i="2"/>
  <c r="E25" i="2"/>
  <c r="F24" i="2"/>
  <c r="F28" i="2" s="1"/>
  <c r="E24" i="2"/>
  <c r="D21" i="2"/>
  <c r="F20" i="2"/>
  <c r="F21" i="2" s="1"/>
  <c r="E20" i="2"/>
  <c r="E21" i="2" s="1"/>
  <c r="F15" i="2"/>
  <c r="E15" i="2"/>
  <c r="F14" i="2"/>
  <c r="E14" i="2"/>
  <c r="F13" i="2"/>
  <c r="E13" i="2"/>
  <c r="F12" i="2"/>
  <c r="E12" i="2"/>
  <c r="F11" i="2"/>
  <c r="E11" i="2"/>
  <c r="F9" i="2"/>
  <c r="E9" i="2"/>
  <c r="D9" i="2"/>
  <c r="D38" i="1"/>
  <c r="F31" i="1"/>
  <c r="E31" i="1"/>
  <c r="D31" i="1"/>
  <c r="F27" i="1"/>
  <c r="F33" i="1" s="1"/>
  <c r="E27" i="1"/>
  <c r="E33" i="1" s="1"/>
  <c r="D27" i="1"/>
  <c r="D18" i="1"/>
  <c r="E16" i="1"/>
  <c r="D33" i="1" l="1"/>
  <c r="D40" i="1" s="1"/>
  <c r="D12" i="5"/>
  <c r="D13" i="5" s="1"/>
  <c r="D14" i="3" s="1"/>
  <c r="D10" i="5"/>
  <c r="D13" i="3" s="1"/>
  <c r="D15" i="3" s="1"/>
  <c r="D15" i="4"/>
  <c r="D9" i="3" s="1"/>
  <c r="E13" i="4"/>
  <c r="D10" i="4"/>
  <c r="E8" i="4"/>
  <c r="E18" i="1"/>
  <c r="F16" i="1"/>
  <c r="F18" i="1" s="1"/>
  <c r="F13" i="4" l="1"/>
  <c r="F15" i="4" s="1"/>
  <c r="F9" i="3" s="1"/>
  <c r="E15" i="4"/>
  <c r="E9" i="3" s="1"/>
  <c r="D17" i="4"/>
  <c r="D20" i="5" s="1"/>
  <c r="D22" i="3" s="1"/>
  <c r="D28" i="3" s="1"/>
  <c r="D8" i="3"/>
  <c r="D10" i="3" s="1"/>
  <c r="F8" i="4"/>
  <c r="E10" i="4"/>
  <c r="E8" i="5"/>
  <c r="D17" i="3" l="1"/>
  <c r="D30" i="3" s="1"/>
  <c r="D32" i="3" s="1"/>
  <c r="D18" i="3"/>
  <c r="F10" i="4"/>
  <c r="F8" i="5"/>
  <c r="E17" i="4"/>
  <c r="E20" i="5" s="1"/>
  <c r="E22" i="3" s="1"/>
  <c r="E28" i="3" s="1"/>
  <c r="E8" i="3"/>
  <c r="E10" i="3" s="1"/>
  <c r="E10" i="5"/>
  <c r="E13" i="3" s="1"/>
  <c r="E12" i="5"/>
  <c r="E13" i="5" s="1"/>
  <c r="E14" i="3" s="1"/>
  <c r="E15" i="3" l="1"/>
  <c r="D33" i="3"/>
  <c r="D35" i="3" s="1"/>
  <c r="F17" i="4"/>
  <c r="F20" i="5" s="1"/>
  <c r="F22" i="3" s="1"/>
  <c r="F28" i="3" s="1"/>
  <c r="F8" i="3"/>
  <c r="F10" i="3" s="1"/>
  <c r="F10" i="5"/>
  <c r="F13" i="3" s="1"/>
  <c r="F12" i="5"/>
  <c r="F13" i="5" s="1"/>
  <c r="F14" i="3" s="1"/>
  <c r="E17" i="3"/>
  <c r="E30" i="3" s="1"/>
  <c r="E32" i="3" s="1"/>
  <c r="E18" i="3"/>
  <c r="D36" i="3" l="1"/>
  <c r="D8" i="2"/>
  <c r="D16" i="2" s="1"/>
  <c r="D30" i="2" s="1"/>
  <c r="D32" i="2" s="1"/>
  <c r="E33" i="3"/>
  <c r="E35" i="3"/>
  <c r="F15" i="3"/>
  <c r="F17" i="3" s="1"/>
  <c r="D9" i="1" l="1"/>
  <c r="D13" i="1" s="1"/>
  <c r="D20" i="1" s="1"/>
  <c r="D42" i="1" s="1"/>
  <c r="E31" i="2"/>
  <c r="E36" i="3"/>
  <c r="E37" i="1"/>
  <c r="E8" i="2"/>
  <c r="E16" i="2" s="1"/>
  <c r="E30" i="2" s="1"/>
  <c r="E32" i="2" s="1"/>
  <c r="F18" i="3"/>
  <c r="F30" i="3"/>
  <c r="F32" i="3" s="1"/>
  <c r="E38" i="1" l="1"/>
  <c r="E40" i="1" s="1"/>
  <c r="E9" i="1"/>
  <c r="E13" i="1" s="1"/>
  <c r="E20" i="1" s="1"/>
  <c r="F31" i="2"/>
  <c r="F33" i="3"/>
  <c r="F35" i="3" s="1"/>
  <c r="F37" i="1" s="1"/>
  <c r="F38" i="1" s="1"/>
  <c r="F40" i="1" s="1"/>
  <c r="F36" i="3" l="1"/>
  <c r="F8" i="2"/>
  <c r="F16" i="2" s="1"/>
  <c r="F30" i="2" s="1"/>
  <c r="F32" i="2" s="1"/>
  <c r="F9" i="1" s="1"/>
  <c r="F13" i="1" s="1"/>
  <c r="F20" i="1" s="1"/>
  <c r="F42" i="1" s="1"/>
  <c r="E42" i="1"/>
</calcChain>
</file>

<file path=xl/sharedStrings.xml><?xml version="1.0" encoding="utf-8"?>
<sst xmlns="http://schemas.openxmlformats.org/spreadsheetml/2006/main" count="162" uniqueCount="127">
  <si>
    <t>Northwind Components Ltd. (fictional)</t>
  </si>
  <si>
    <t>Balance Sheet</t>
  </si>
  <si>
    <t>As at 31 December ($ in thousands)</t>
  </si>
  <si>
    <t>FY2023</t>
  </si>
  <si>
    <t>FY2024</t>
  </si>
  <si>
    <t>FY2025</t>
  </si>
  <si>
    <t>Assets</t>
  </si>
  <si>
    <t>Current assets</t>
  </si>
  <si>
    <t>Cash and cash equivalents</t>
  </si>
  <si>
    <t>Trade receivables</t>
  </si>
  <si>
    <t>Inventories</t>
  </si>
  <si>
    <t>Prepayments</t>
  </si>
  <si>
    <t>Total current assets</t>
  </si>
  <si>
    <t>Non-current assets</t>
  </si>
  <si>
    <t>Property, plant and equipment</t>
  </si>
  <si>
    <t>FY2023 opening balances (blue) are inputs; FY2024-25 roll forward</t>
  </si>
  <si>
    <t>Intangible assets</t>
  </si>
  <si>
    <t>Total non-current assets</t>
  </si>
  <si>
    <t>Total assets</t>
  </si>
  <si>
    <t>Liabilities</t>
  </si>
  <si>
    <t>Current liabilities</t>
  </si>
  <si>
    <t>Trade payables</t>
  </si>
  <si>
    <t>Accrued expenses</t>
  </si>
  <si>
    <t>Short-term borrowings</t>
  </si>
  <si>
    <t>Total current liabilities</t>
  </si>
  <si>
    <t>Non-current liabilities</t>
  </si>
  <si>
    <t>Long-term borrowings</t>
  </si>
  <si>
    <t>Total non-current liabilities</t>
  </si>
  <si>
    <t>Total liabilities</t>
  </si>
  <si>
    <t>Equity</t>
  </si>
  <si>
    <t>Share capital</t>
  </si>
  <si>
    <t>Retained earnings</t>
  </si>
  <si>
    <t>FY2023: the input that balances the sheet</t>
  </si>
  <si>
    <t>Total equity</t>
  </si>
  <si>
    <t>Total liabilities and equity</t>
  </si>
  <si>
    <t>Check: assets less liabilities and equity (should be 0)</t>
  </si>
  <si>
    <t>Cashflow Statement</t>
  </si>
  <si>
    <t>For the years ended 31 December ($ in thousands)</t>
  </si>
  <si>
    <t>Operating activities</t>
  </si>
  <si>
    <t>Net profit</t>
  </si>
  <si>
    <t>Depreciation</t>
  </si>
  <si>
    <t>Changes in working capital</t>
  </si>
  <si>
    <t>(Increase)/decrease in trade receivables</t>
  </si>
  <si>
    <t>FY2023 inputs (blue): no FY2022 balance sheet in this example</t>
  </si>
  <si>
    <t>(Increase)/decrease in inventories</t>
  </si>
  <si>
    <t>(Increase)/decrease in prepayments</t>
  </si>
  <si>
    <t>Increase/(decrease) in trade payables</t>
  </si>
  <si>
    <t>Increase/(decrease) in accrued expenses</t>
  </si>
  <si>
    <t>Net cash from operating activities</t>
  </si>
  <si>
    <t>Investing activities</t>
  </si>
  <si>
    <t>Purchase of property, plant and equipment</t>
  </si>
  <si>
    <t>Purchase of intangible assets</t>
  </si>
  <si>
    <t>Net cash used in investing activities</t>
  </si>
  <si>
    <t>Financing activities</t>
  </si>
  <si>
    <t>Proceeds from/(repayment of) short-term borrowings</t>
  </si>
  <si>
    <t>Proceeds from/(repayment of) long-term borrowings</t>
  </si>
  <si>
    <t>Proceeds from issue of shares</t>
  </si>
  <si>
    <t>Dividends paid</t>
  </si>
  <si>
    <t>Net cash from financing activities</t>
  </si>
  <si>
    <t>Net increase/(decrease) in cash</t>
  </si>
  <si>
    <t>Cash at the beginning of the year</t>
  </si>
  <si>
    <t>Cash at the end of the year</t>
  </si>
  <si>
    <t>Profit and Loss</t>
  </si>
  <si>
    <t>Revenue</t>
  </si>
  <si>
    <t>Product sales</t>
  </si>
  <si>
    <t>Services</t>
  </si>
  <si>
    <t>Total revenue</t>
  </si>
  <si>
    <t>Cost of sales</t>
  </si>
  <si>
    <t>Materials</t>
  </si>
  <si>
    <t>Direct labour</t>
  </si>
  <si>
    <t>Total cost of sales</t>
  </si>
  <si>
    <t>Gross profit</t>
  </si>
  <si>
    <t>Gross margin</t>
  </si>
  <si>
    <t>Operating expenses</t>
  </si>
  <si>
    <t>Selling and marketing</t>
  </si>
  <si>
    <t>Advertising</t>
  </si>
  <si>
    <t>Sales salaries</t>
  </si>
  <si>
    <t>General and administrative</t>
  </si>
  <si>
    <t>Office rent</t>
  </si>
  <si>
    <t>Administrative salaries</t>
  </si>
  <si>
    <t>Total operating expenses</t>
  </si>
  <si>
    <t>Operating profit</t>
  </si>
  <si>
    <t>Interest expense</t>
  </si>
  <si>
    <t>Profit before tax</t>
  </si>
  <si>
    <t>Income tax</t>
  </si>
  <si>
    <t>Net margin</t>
  </si>
  <si>
    <t>Revenue Build</t>
  </si>
  <si>
    <t>Product sales and services, from Assumptions ($ in thousands unless stated)</t>
  </si>
  <si>
    <t>Widgets</t>
  </si>
  <si>
    <t>Units sold</t>
  </si>
  <si>
    <t>Price per widget ($)</t>
  </si>
  <si>
    <t>Service contracts</t>
  </si>
  <si>
    <t>Average fee per contract</t>
  </si>
  <si>
    <t>Service revenue</t>
  </si>
  <si>
    <t>Cost Build</t>
  </si>
  <si>
    <t>Costs and interest, from Assumptions, Revenue Build and Balance Sheet ($ in thousands)</t>
  </si>
  <si>
    <t>Material cost per widget ($)</t>
  </si>
  <si>
    <t>Labour hours (thousands)</t>
  </si>
  <si>
    <t>Salaries</t>
  </si>
  <si>
    <t>Other operating expenses</t>
  </si>
  <si>
    <t>Interest</t>
  </si>
  <si>
    <t>Borrowings at year end</t>
  </si>
  <si>
    <t>Assumptions</t>
  </si>
  <si>
    <t>Inputs behind Profit and Loss (all fictional)</t>
  </si>
  <si>
    <t>Sales</t>
  </si>
  <si>
    <t>Widgets sold, FY2023 (units)</t>
  </si>
  <si>
    <t>Volume growth</t>
  </si>
  <si>
    <t>Price per widget, FY2023 ($)</t>
  </si>
  <si>
    <t>Price increase</t>
  </si>
  <si>
    <t>Service contracts, FY2023</t>
  </si>
  <si>
    <t>Contract growth</t>
  </si>
  <si>
    <t>Average fee per contract ($000)</t>
  </si>
  <si>
    <t>Costs</t>
  </si>
  <si>
    <t>Material cost per widget, FY2023 ($)</t>
  </si>
  <si>
    <t>Material cost inflation</t>
  </si>
  <si>
    <t>Labour hours per widget</t>
  </si>
  <si>
    <t>Labour rate ($ per hour)</t>
  </si>
  <si>
    <t>People</t>
  </si>
  <si>
    <t>Sales headcount</t>
  </si>
  <si>
    <t>Administrative headcount</t>
  </si>
  <si>
    <t>Average salary, sales ($000)</t>
  </si>
  <si>
    <t>Average salary, administrative ($000)</t>
  </si>
  <si>
    <t>Other</t>
  </si>
  <si>
    <t>Advertising, % of total revenue</t>
  </si>
  <si>
    <t>Office rent ($000)</t>
  </si>
  <si>
    <t>Interest rate on borrowings</t>
  </si>
  <si>
    <t>Income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</si>
</sst>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0.0%;\(0.0%\);&quot;-&quot;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595959"/>
      <name val="Calibri"/>
    </font>
    <font>
      <b/>
      <sz val="11"/>
      <name val="Calibri"/>
    </font>
    <font>
      <sz val="11"/>
      <color rgb="FF008000"/>
      <name val="Calibri"/>
    </font>
    <font>
      <sz val="11"/>
      <color rgb="FF000000"/>
      <name val="Calibri"/>
    </font>
    <font>
      <sz val="11"/>
      <color rgb="FF0000FF"/>
      <name val="Calibri"/>
    </font>
    <font>
      <i/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0" xfId="0" applyFont="1"/>
    <xf numFmtId="164" fontId="5" fillId="0" borderId="0" xfId="0" applyNumberFormat="1" applyFont="1"/>
    <xf numFmtId="164" fontId="7" fillId="0" borderId="0" xfId="0" applyNumberFormat="1" applyFont="1"/>
    <xf numFmtId="164" fontId="6" fillId="0" borderId="2" xfId="0" applyNumberFormat="1" applyFont="1" applyBorder="1"/>
    <xf numFmtId="164" fontId="6" fillId="0" borderId="0" xfId="0" applyNumberFormat="1" applyFont="1"/>
    <xf numFmtId="164" fontId="6" fillId="0" borderId="3" xfId="0" applyNumberFormat="1" applyFont="1" applyBorder="1"/>
    <xf numFmtId="0" fontId="8" fillId="0" borderId="0" xfId="0" applyFont="1"/>
    <xf numFmtId="164" fontId="8" fillId="0" borderId="0" xfId="0" applyNumberFormat="1" applyFont="1"/>
    <xf numFmtId="165" fontId="6" fillId="0" borderId="0" xfId="0" applyNumberFormat="1" applyFont="1"/>
    <xf numFmtId="3" fontId="5" fillId="0" borderId="0" xfId="0" applyNumberFormat="1" applyFont="1"/>
    <xf numFmtId="4" fontId="5" fillId="0" borderId="0" xfId="0" applyNumberFormat="1" applyFont="1"/>
    <xf numFmtId="166" fontId="5" fillId="0" borderId="0" xfId="0" applyNumberFormat="1" applyFont="1"/>
    <xf numFmtId="164" fontId="5" fillId="0" borderId="2" xfId="0" applyNumberFormat="1" applyFont="1" applyBorder="1"/>
    <xf numFmtId="3" fontId="7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2" fontId="7" fillId="0" borderId="0" xfId="0" applyNumberFormat="1" applyFont="1"/>
    <xf numFmtId="165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and Net Profit ($ thousands)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'Profit and Loss'!$C$10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'Profit and Loss'!$D$5:$F$5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'Profit and Loss'!$D$10:$F$10</c:f>
              <c:numCache>
                <c:formatCode>#,##0;\(#,##0\);"-"</c:formatCode>
                <c:ptCount val="3"/>
                <c:pt idx="0">
                  <c:v>47990</c:v>
                </c:pt>
                <c:pt idx="1">
                  <c:v>53957.377499999995</c:v>
                </c:pt>
                <c:pt idx="2">
                  <c:v>60757.229692500005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A-4CCB-9490-B96D56BABCDA}"/>
            </c:ext>
          </c:extLst>
        </c:ser>
        <c:ser>
          <c:idx val="1"/>
          <c:order val="1"/>
          <c:tx>
            <c:strRef>
              <c:f>'Profit and Loss'!$C$35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'Profit and Loss'!$D$5:$F$5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'Profit and Loss'!$D$35:$F$35</c:f>
              <c:numCache>
                <c:formatCode>#,##0;\(#,##0\);"-"</c:formatCode>
                <c:ptCount val="3"/>
                <c:pt idx="0">
                  <c:v>7946.99</c:v>
                </c:pt>
                <c:pt idx="1">
                  <c:v>9342.0567474999916</c:v>
                </c:pt>
                <c:pt idx="2">
                  <c:v>11393.025819582497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A-4CCB-9490-B96D56BA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 thousands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3" customWidth="1"/>
    <col min="3" max="3" width="44" customWidth="1"/>
    <col min="4" max="6" width="13" customWidth="1"/>
  </cols>
  <sheetData>
    <row r="1" spans="1:8" ht="18" x14ac:dyDescent="0.35">
      <c r="A1" s="1" t="s">
        <v>0</v>
      </c>
    </row>
    <row r="2" spans="1:8" ht="15.6" x14ac:dyDescent="0.3">
      <c r="A2" s="2" t="s">
        <v>1</v>
      </c>
    </row>
    <row r="3" spans="1:8" x14ac:dyDescent="0.3">
      <c r="A3" s="3" t="s">
        <v>2</v>
      </c>
    </row>
    <row r="5" spans="1:8" x14ac:dyDescent="0.3">
      <c r="D5" s="4" t="s">
        <v>3</v>
      </c>
      <c r="E5" s="4" t="s">
        <v>4</v>
      </c>
      <c r="F5" s="4" t="s">
        <v>5</v>
      </c>
    </row>
    <row r="7" spans="1:8" x14ac:dyDescent="0.3">
      <c r="A7" s="5" t="s">
        <v>6</v>
      </c>
    </row>
    <row r="8" spans="1:8" x14ac:dyDescent="0.3">
      <c r="B8" s="5" t="s">
        <v>7</v>
      </c>
    </row>
    <row r="9" spans="1:8" x14ac:dyDescent="0.3">
      <c r="C9" t="s">
        <v>8</v>
      </c>
      <c r="D9" s="6">
        <f>'Cashflow Statement'!D32</f>
        <v>8536.99</v>
      </c>
      <c r="E9" s="6">
        <f>'Cashflow Statement'!E32</f>
        <v>13529.046747499991</v>
      </c>
      <c r="F9" s="6">
        <f>'Cashflow Statement'!F32</f>
        <v>20492.07256708249</v>
      </c>
    </row>
    <row r="10" spans="1:8" x14ac:dyDescent="0.3">
      <c r="C10" t="s">
        <v>9</v>
      </c>
      <c r="D10" s="7">
        <v>6120</v>
      </c>
      <c r="E10" s="7">
        <v>6980</v>
      </c>
      <c r="F10" s="7">
        <v>7850</v>
      </c>
    </row>
    <row r="11" spans="1:8" x14ac:dyDescent="0.3">
      <c r="C11" t="s">
        <v>10</v>
      </c>
      <c r="D11" s="7">
        <v>4870</v>
      </c>
      <c r="E11" s="7">
        <v>5310</v>
      </c>
      <c r="F11" s="7">
        <v>5640</v>
      </c>
    </row>
    <row r="12" spans="1:8" x14ac:dyDescent="0.3">
      <c r="C12" t="s">
        <v>11</v>
      </c>
      <c r="D12" s="7">
        <v>640</v>
      </c>
      <c r="E12" s="7">
        <v>700</v>
      </c>
      <c r="F12" s="7">
        <v>760</v>
      </c>
    </row>
    <row r="13" spans="1:8" x14ac:dyDescent="0.3">
      <c r="C13" t="s">
        <v>12</v>
      </c>
      <c r="D13" s="8">
        <f>SUM(D9:D12)</f>
        <v>20166.989999999998</v>
      </c>
      <c r="E13" s="8">
        <f>SUM(E9:E12)</f>
        <v>26519.04674749999</v>
      </c>
      <c r="F13" s="8">
        <f>SUM(F9:F12)</f>
        <v>34742.07256708249</v>
      </c>
    </row>
    <row r="15" spans="1:8" x14ac:dyDescent="0.3">
      <c r="B15" s="5" t="s">
        <v>13</v>
      </c>
    </row>
    <row r="16" spans="1:8" x14ac:dyDescent="0.3">
      <c r="C16" t="s">
        <v>14</v>
      </c>
      <c r="D16" s="7">
        <v>15400</v>
      </c>
      <c r="E16" s="6">
        <f>D16-'Cashflow Statement'!E19-'Profit and Loss'!E27</f>
        <v>16070</v>
      </c>
      <c r="F16" s="6">
        <f>E16-'Cashflow Statement'!F19-'Profit and Loss'!F27</f>
        <v>16420</v>
      </c>
      <c r="H16" s="3" t="s">
        <v>15</v>
      </c>
    </row>
    <row r="17" spans="1:6" x14ac:dyDescent="0.3">
      <c r="C17" t="s">
        <v>16</v>
      </c>
      <c r="D17" s="7">
        <v>2300</v>
      </c>
      <c r="E17" s="7">
        <v>2450</v>
      </c>
      <c r="F17" s="7">
        <v>2600</v>
      </c>
    </row>
    <row r="18" spans="1:6" x14ac:dyDescent="0.3">
      <c r="C18" t="s">
        <v>17</v>
      </c>
      <c r="D18" s="8">
        <f>SUM(D16:D17)</f>
        <v>17700</v>
      </c>
      <c r="E18" s="8">
        <f>SUM(E16:E17)</f>
        <v>18520</v>
      </c>
      <c r="F18" s="8">
        <f>SUM(F16:F17)</f>
        <v>19020</v>
      </c>
    </row>
    <row r="20" spans="1:6" x14ac:dyDescent="0.3">
      <c r="A20" s="5" t="s">
        <v>18</v>
      </c>
      <c r="D20" s="9">
        <f>D13+D18</f>
        <v>37866.99</v>
      </c>
      <c r="E20" s="9">
        <f>E13+E18</f>
        <v>45039.04674749999</v>
      </c>
      <c r="F20" s="9">
        <f>F13+F18</f>
        <v>53762.07256708249</v>
      </c>
    </row>
    <row r="22" spans="1:6" x14ac:dyDescent="0.3">
      <c r="A22" s="5" t="s">
        <v>19</v>
      </c>
    </row>
    <row r="23" spans="1:6" x14ac:dyDescent="0.3">
      <c r="B23" s="5" t="s">
        <v>20</v>
      </c>
    </row>
    <row r="24" spans="1:6" x14ac:dyDescent="0.3">
      <c r="C24" t="s">
        <v>21</v>
      </c>
      <c r="D24" s="7">
        <v>3980</v>
      </c>
      <c r="E24" s="7">
        <v>4420</v>
      </c>
      <c r="F24" s="7">
        <v>4760</v>
      </c>
    </row>
    <row r="25" spans="1:6" x14ac:dyDescent="0.3">
      <c r="C25" t="s">
        <v>22</v>
      </c>
      <c r="D25" s="7">
        <v>1150</v>
      </c>
      <c r="E25" s="7">
        <v>1240</v>
      </c>
      <c r="F25" s="7">
        <v>1330</v>
      </c>
    </row>
    <row r="26" spans="1:6" x14ac:dyDescent="0.3">
      <c r="C26" t="s">
        <v>23</v>
      </c>
      <c r="D26" s="7">
        <v>2000</v>
      </c>
      <c r="E26" s="7">
        <v>1500</v>
      </c>
      <c r="F26" s="7">
        <v>1000</v>
      </c>
    </row>
    <row r="27" spans="1:6" x14ac:dyDescent="0.3">
      <c r="C27" t="s">
        <v>24</v>
      </c>
      <c r="D27" s="8">
        <f>SUM(D24:D26)</f>
        <v>7130</v>
      </c>
      <c r="E27" s="8">
        <f>SUM(E24:E26)</f>
        <v>7160</v>
      </c>
      <c r="F27" s="8">
        <f>SUM(F24:F26)</f>
        <v>7090</v>
      </c>
    </row>
    <row r="29" spans="1:6" x14ac:dyDescent="0.3">
      <c r="B29" s="5" t="s">
        <v>25</v>
      </c>
    </row>
    <row r="30" spans="1:6" x14ac:dyDescent="0.3">
      <c r="C30" t="s">
        <v>26</v>
      </c>
      <c r="D30" s="7">
        <v>8500</v>
      </c>
      <c r="E30" s="7">
        <v>7800</v>
      </c>
      <c r="F30" s="7">
        <v>7000</v>
      </c>
    </row>
    <row r="31" spans="1:6" x14ac:dyDescent="0.3">
      <c r="C31" t="s">
        <v>27</v>
      </c>
      <c r="D31" s="8">
        <f>SUM(D30:D30)</f>
        <v>8500</v>
      </c>
      <c r="E31" s="8">
        <f>SUM(E30:E30)</f>
        <v>7800</v>
      </c>
      <c r="F31" s="8">
        <f>SUM(F30:F30)</f>
        <v>7000</v>
      </c>
    </row>
    <row r="33" spans="1:8" x14ac:dyDescent="0.3">
      <c r="A33" s="5" t="s">
        <v>28</v>
      </c>
      <c r="D33" s="9">
        <f>D27+D31</f>
        <v>15630</v>
      </c>
      <c r="E33" s="9">
        <f>E27+E31</f>
        <v>14960</v>
      </c>
      <c r="F33" s="9">
        <f>F27+F31</f>
        <v>14090</v>
      </c>
    </row>
    <row r="35" spans="1:8" x14ac:dyDescent="0.3">
      <c r="A35" s="5" t="s">
        <v>29</v>
      </c>
    </row>
    <row r="36" spans="1:8" x14ac:dyDescent="0.3">
      <c r="C36" t="s">
        <v>30</v>
      </c>
      <c r="D36" s="7">
        <v>10000</v>
      </c>
      <c r="E36" s="7">
        <v>10000</v>
      </c>
      <c r="F36" s="7">
        <v>10000</v>
      </c>
    </row>
    <row r="37" spans="1:8" x14ac:dyDescent="0.3">
      <c r="C37" t="s">
        <v>31</v>
      </c>
      <c r="D37" s="7">
        <v>12237</v>
      </c>
      <c r="E37" s="6">
        <f>D37+'Profit and Loss'!E35+'Cashflow Statement'!E27</f>
        <v>20079.056747499992</v>
      </c>
      <c r="F37" s="6">
        <f>E37+'Profit and Loss'!F35+'Cashflow Statement'!F27</f>
        <v>29672.082567082489</v>
      </c>
      <c r="H37" s="3" t="s">
        <v>32</v>
      </c>
    </row>
    <row r="38" spans="1:8" x14ac:dyDescent="0.3">
      <c r="C38" t="s">
        <v>33</v>
      </c>
      <c r="D38" s="8">
        <f>SUM(D36:D37)</f>
        <v>22237</v>
      </c>
      <c r="E38" s="8">
        <f>SUM(E36:E37)</f>
        <v>30079.056747499992</v>
      </c>
      <c r="F38" s="8">
        <f>SUM(F36:F37)</f>
        <v>39672.082567082485</v>
      </c>
    </row>
    <row r="40" spans="1:8" x14ac:dyDescent="0.3">
      <c r="A40" s="5" t="s">
        <v>34</v>
      </c>
      <c r="D40" s="10">
        <f>D33+D38</f>
        <v>37867</v>
      </c>
      <c r="E40" s="10">
        <f>E33+E38</f>
        <v>45039.056747499992</v>
      </c>
      <c r="F40" s="10">
        <f>F33+F38</f>
        <v>53762.082567082485</v>
      </c>
    </row>
    <row r="42" spans="1:8" x14ac:dyDescent="0.3">
      <c r="C42" s="11" t="s">
        <v>35</v>
      </c>
      <c r="D42" s="12">
        <f>ROUND(D20-D40,0)</f>
        <v>0</v>
      </c>
      <c r="E42" s="12">
        <f>ROUND(E20-E40,0)</f>
        <v>0</v>
      </c>
      <c r="F42" s="12">
        <f>ROUND(F20-F40,0)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3" customWidth="1"/>
    <col min="3" max="3" width="44" customWidth="1"/>
    <col min="4" max="6" width="13" customWidth="1"/>
  </cols>
  <sheetData>
    <row r="1" spans="1:8" ht="18" x14ac:dyDescent="0.35">
      <c r="A1" s="1" t="s">
        <v>0</v>
      </c>
    </row>
    <row r="2" spans="1:8" ht="15.6" x14ac:dyDescent="0.3">
      <c r="A2" s="2" t="s">
        <v>36</v>
      </c>
    </row>
    <row r="3" spans="1:8" x14ac:dyDescent="0.3">
      <c r="A3" s="3" t="s">
        <v>37</v>
      </c>
    </row>
    <row r="5" spans="1:8" x14ac:dyDescent="0.3">
      <c r="D5" s="4" t="s">
        <v>3</v>
      </c>
      <c r="E5" s="4" t="s">
        <v>4</v>
      </c>
      <c r="F5" s="4" t="s">
        <v>5</v>
      </c>
    </row>
    <row r="7" spans="1:8" x14ac:dyDescent="0.3">
      <c r="A7" s="5" t="s">
        <v>38</v>
      </c>
    </row>
    <row r="8" spans="1:8" x14ac:dyDescent="0.3">
      <c r="C8" t="s">
        <v>39</v>
      </c>
      <c r="D8" s="6">
        <f>'Profit and Loss'!D35</f>
        <v>7946.99</v>
      </c>
      <c r="E8" s="6">
        <f>'Profit and Loss'!E35</f>
        <v>9342.0567474999916</v>
      </c>
      <c r="F8" s="6">
        <f>'Profit and Loss'!F35</f>
        <v>11393.025819582497</v>
      </c>
    </row>
    <row r="9" spans="1:8" x14ac:dyDescent="0.3">
      <c r="C9" t="s">
        <v>40</v>
      </c>
      <c r="D9" s="6">
        <f>'Profit and Loss'!D27</f>
        <v>1620</v>
      </c>
      <c r="E9" s="6">
        <f>'Profit and Loss'!E27</f>
        <v>1780</v>
      </c>
      <c r="F9" s="6">
        <f>'Profit and Loss'!F27</f>
        <v>1950</v>
      </c>
    </row>
    <row r="10" spans="1:8" x14ac:dyDescent="0.3">
      <c r="B10" s="5" t="s">
        <v>41</v>
      </c>
    </row>
    <row r="11" spans="1:8" x14ac:dyDescent="0.3">
      <c r="C11" t="s">
        <v>42</v>
      </c>
      <c r="D11" s="7">
        <v>-520</v>
      </c>
      <c r="E11" s="6">
        <f>'Balance Sheet'!D10-'Balance Sheet'!E10</f>
        <v>-860</v>
      </c>
      <c r="F11" s="6">
        <f>'Balance Sheet'!E10-'Balance Sheet'!F10</f>
        <v>-870</v>
      </c>
      <c r="H11" s="3" t="s">
        <v>43</v>
      </c>
    </row>
    <row r="12" spans="1:8" x14ac:dyDescent="0.3">
      <c r="C12" t="s">
        <v>44</v>
      </c>
      <c r="D12" s="7">
        <v>-310</v>
      </c>
      <c r="E12" s="6">
        <f>'Balance Sheet'!D11-'Balance Sheet'!E11</f>
        <v>-440</v>
      </c>
      <c r="F12" s="6">
        <f>'Balance Sheet'!E11-'Balance Sheet'!F11</f>
        <v>-330</v>
      </c>
    </row>
    <row r="13" spans="1:8" x14ac:dyDescent="0.3">
      <c r="C13" t="s">
        <v>45</v>
      </c>
      <c r="D13" s="7">
        <v>-40</v>
      </c>
      <c r="E13" s="6">
        <f>'Balance Sheet'!D12-'Balance Sheet'!E12</f>
        <v>-60</v>
      </c>
      <c r="F13" s="6">
        <f>'Balance Sheet'!E12-'Balance Sheet'!F12</f>
        <v>-60</v>
      </c>
    </row>
    <row r="14" spans="1:8" x14ac:dyDescent="0.3">
      <c r="C14" t="s">
        <v>46</v>
      </c>
      <c r="D14" s="7">
        <v>280</v>
      </c>
      <c r="E14" s="6">
        <f>'Balance Sheet'!E24-'Balance Sheet'!D24</f>
        <v>440</v>
      </c>
      <c r="F14" s="6">
        <f>'Balance Sheet'!F24-'Balance Sheet'!E24</f>
        <v>340</v>
      </c>
    </row>
    <row r="15" spans="1:8" x14ac:dyDescent="0.3">
      <c r="C15" t="s">
        <v>47</v>
      </c>
      <c r="D15" s="7">
        <v>60</v>
      </c>
      <c r="E15" s="6">
        <f>'Balance Sheet'!E25-'Balance Sheet'!D25</f>
        <v>90</v>
      </c>
      <c r="F15" s="6">
        <f>'Balance Sheet'!F25-'Balance Sheet'!E25</f>
        <v>90</v>
      </c>
    </row>
    <row r="16" spans="1:8" x14ac:dyDescent="0.3">
      <c r="A16" s="5" t="s">
        <v>48</v>
      </c>
      <c r="D16" s="8">
        <f>SUM(D8:D9)+SUM(D11:D15)</f>
        <v>9036.99</v>
      </c>
      <c r="E16" s="8">
        <f>SUM(E8:E9)+SUM(E11:E15)</f>
        <v>10292.056747499992</v>
      </c>
      <c r="F16" s="8">
        <f>SUM(F8:F9)+SUM(F11:F15)</f>
        <v>12513.025819582497</v>
      </c>
    </row>
    <row r="18" spans="1:6" x14ac:dyDescent="0.3">
      <c r="A18" s="5" t="s">
        <v>49</v>
      </c>
    </row>
    <row r="19" spans="1:6" x14ac:dyDescent="0.3">
      <c r="C19" t="s">
        <v>50</v>
      </c>
      <c r="D19" s="7">
        <v>-2100</v>
      </c>
      <c r="E19" s="7">
        <v>-2450</v>
      </c>
      <c r="F19" s="7">
        <v>-2300</v>
      </c>
    </row>
    <row r="20" spans="1:6" x14ac:dyDescent="0.3">
      <c r="C20" t="s">
        <v>51</v>
      </c>
      <c r="D20" s="7">
        <v>-150</v>
      </c>
      <c r="E20" s="6">
        <f>'Balance Sheet'!D17-'Balance Sheet'!E17</f>
        <v>-150</v>
      </c>
      <c r="F20" s="6">
        <f>'Balance Sheet'!E17-'Balance Sheet'!F17</f>
        <v>-150</v>
      </c>
    </row>
    <row r="21" spans="1:6" x14ac:dyDescent="0.3">
      <c r="A21" s="5" t="s">
        <v>52</v>
      </c>
      <c r="D21" s="8">
        <f>SUM(D19:D20)</f>
        <v>-2250</v>
      </c>
      <c r="E21" s="8">
        <f>SUM(E19:E20)</f>
        <v>-2600</v>
      </c>
      <c r="F21" s="8">
        <f>SUM(F19:F20)</f>
        <v>-2450</v>
      </c>
    </row>
    <row r="23" spans="1:6" x14ac:dyDescent="0.3">
      <c r="A23" s="5" t="s">
        <v>53</v>
      </c>
    </row>
    <row r="24" spans="1:6" x14ac:dyDescent="0.3">
      <c r="C24" t="s">
        <v>54</v>
      </c>
      <c r="D24" s="7">
        <v>500</v>
      </c>
      <c r="E24" s="6">
        <f>'Balance Sheet'!E26-'Balance Sheet'!D26</f>
        <v>-500</v>
      </c>
      <c r="F24" s="6">
        <f>'Balance Sheet'!F26-'Balance Sheet'!E26</f>
        <v>-500</v>
      </c>
    </row>
    <row r="25" spans="1:6" x14ac:dyDescent="0.3">
      <c r="C25" t="s">
        <v>55</v>
      </c>
      <c r="D25" s="7">
        <v>-700</v>
      </c>
      <c r="E25" s="6">
        <f>'Balance Sheet'!E30-'Balance Sheet'!D30</f>
        <v>-700</v>
      </c>
      <c r="F25" s="6">
        <f>'Balance Sheet'!F30-'Balance Sheet'!E30</f>
        <v>-800</v>
      </c>
    </row>
    <row r="26" spans="1:6" x14ac:dyDescent="0.3">
      <c r="C26" t="s">
        <v>56</v>
      </c>
      <c r="D26" s="7">
        <v>0</v>
      </c>
      <c r="E26" s="6">
        <f>'Balance Sheet'!E36-'Balance Sheet'!D36</f>
        <v>0</v>
      </c>
      <c r="F26" s="6">
        <f>'Balance Sheet'!F36-'Balance Sheet'!E36</f>
        <v>0</v>
      </c>
    </row>
    <row r="27" spans="1:6" x14ac:dyDescent="0.3">
      <c r="C27" t="s">
        <v>57</v>
      </c>
      <c r="D27" s="7">
        <v>-1200</v>
      </c>
      <c r="E27" s="7">
        <v>-1500</v>
      </c>
      <c r="F27" s="7">
        <v>-1800</v>
      </c>
    </row>
    <row r="28" spans="1:6" x14ac:dyDescent="0.3">
      <c r="A28" s="5" t="s">
        <v>58</v>
      </c>
      <c r="D28" s="8">
        <f>SUM(D24:D27)</f>
        <v>-1400</v>
      </c>
      <c r="E28" s="8">
        <f>SUM(E24:E27)</f>
        <v>-2700</v>
      </c>
      <c r="F28" s="8">
        <f>SUM(F24:F27)</f>
        <v>-3100</v>
      </c>
    </row>
    <row r="30" spans="1:6" x14ac:dyDescent="0.3">
      <c r="A30" s="5" t="s">
        <v>59</v>
      </c>
      <c r="D30" s="9">
        <f>D16+D21+D28</f>
        <v>5386.99</v>
      </c>
      <c r="E30" s="9">
        <f>E16+E21+E28</f>
        <v>4992.0567474999916</v>
      </c>
      <c r="F30" s="9">
        <f>F16+F21+F28</f>
        <v>6963.0258195824972</v>
      </c>
    </row>
    <row r="31" spans="1:6" x14ac:dyDescent="0.3">
      <c r="C31" t="s">
        <v>60</v>
      </c>
      <c r="D31" s="7">
        <v>3150</v>
      </c>
      <c r="E31" s="9">
        <f>D32</f>
        <v>8536.99</v>
      </c>
      <c r="F31" s="9">
        <f>E32</f>
        <v>13529.046747499991</v>
      </c>
    </row>
    <row r="32" spans="1:6" x14ac:dyDescent="0.3">
      <c r="A32" s="5" t="s">
        <v>61</v>
      </c>
      <c r="D32" s="10">
        <f>D30+D31</f>
        <v>8536.99</v>
      </c>
      <c r="E32" s="10">
        <f>E30+E31</f>
        <v>13529.046747499991</v>
      </c>
      <c r="F32" s="10">
        <f>F30+F31</f>
        <v>20492.07256708249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3" customWidth="1"/>
    <col min="3" max="3" width="44" customWidth="1"/>
    <col min="4" max="6" width="13" customWidth="1"/>
  </cols>
  <sheetData>
    <row r="1" spans="1:6" ht="18" x14ac:dyDescent="0.35">
      <c r="A1" s="1" t="s">
        <v>0</v>
      </c>
    </row>
    <row r="2" spans="1:6" ht="15.6" x14ac:dyDescent="0.3">
      <c r="A2" s="2" t="s">
        <v>62</v>
      </c>
    </row>
    <row r="3" spans="1:6" x14ac:dyDescent="0.3">
      <c r="A3" s="3" t="s">
        <v>37</v>
      </c>
    </row>
    <row r="5" spans="1:6" x14ac:dyDescent="0.3">
      <c r="D5" s="4" t="s">
        <v>3</v>
      </c>
      <c r="E5" s="4" t="s">
        <v>4</v>
      </c>
      <c r="F5" s="4" t="s">
        <v>5</v>
      </c>
    </row>
    <row r="7" spans="1:6" x14ac:dyDescent="0.3">
      <c r="A7" s="5" t="s">
        <v>63</v>
      </c>
    </row>
    <row r="8" spans="1:6" x14ac:dyDescent="0.3">
      <c r="C8" t="s">
        <v>64</v>
      </c>
      <c r="D8" s="6">
        <f>'Revenue Build'!D10</f>
        <v>38190</v>
      </c>
      <c r="E8" s="6">
        <f>'Revenue Build'!E10</f>
        <v>42667.777499999997</v>
      </c>
      <c r="F8" s="6">
        <f>'Revenue Build'!F10</f>
        <v>47233.229692500005</v>
      </c>
    </row>
    <row r="9" spans="1:6" x14ac:dyDescent="0.3">
      <c r="C9" t="s">
        <v>65</v>
      </c>
      <c r="D9" s="6">
        <f>'Revenue Build'!D15</f>
        <v>9800</v>
      </c>
      <c r="E9" s="6">
        <f>'Revenue Build'!E15</f>
        <v>11289.6</v>
      </c>
      <c r="F9" s="6">
        <f>'Revenue Build'!F15</f>
        <v>13524</v>
      </c>
    </row>
    <row r="10" spans="1:6" x14ac:dyDescent="0.3">
      <c r="C10" t="s">
        <v>66</v>
      </c>
      <c r="D10" s="8">
        <f>SUM(D8:D9)</f>
        <v>47990</v>
      </c>
      <c r="E10" s="8">
        <f>SUM(E8:E9)</f>
        <v>53957.377499999995</v>
      </c>
      <c r="F10" s="8">
        <f>SUM(F8:F9)</f>
        <v>60757.229692500005</v>
      </c>
    </row>
    <row r="12" spans="1:6" x14ac:dyDescent="0.3">
      <c r="A12" s="5" t="s">
        <v>67</v>
      </c>
    </row>
    <row r="13" spans="1:6" x14ac:dyDescent="0.3">
      <c r="C13" t="s">
        <v>68</v>
      </c>
      <c r="D13" s="6">
        <f>'Cost Build'!D10</f>
        <v>17195</v>
      </c>
      <c r="E13" s="6">
        <f>'Cost Build'!E10</f>
        <v>19304.826500000003</v>
      </c>
      <c r="F13" s="6">
        <f>'Cost Build'!F10</f>
        <v>21474.688998600006</v>
      </c>
    </row>
    <row r="14" spans="1:6" x14ac:dyDescent="0.3">
      <c r="C14" t="s">
        <v>69</v>
      </c>
      <c r="D14" s="6">
        <f>'Cost Build'!D13</f>
        <v>7600</v>
      </c>
      <c r="E14" s="6">
        <f>'Cost Build'!E13</f>
        <v>8507.6680000000015</v>
      </c>
      <c r="F14" s="6">
        <f>'Cost Build'!F13</f>
        <v>9420.8961600000021</v>
      </c>
    </row>
    <row r="15" spans="1:6" x14ac:dyDescent="0.3">
      <c r="C15" t="s">
        <v>70</v>
      </c>
      <c r="D15" s="8">
        <f>SUM(D13:D14)</f>
        <v>24795</v>
      </c>
      <c r="E15" s="8">
        <f>SUM(E13:E14)</f>
        <v>27812.494500000004</v>
      </c>
      <c r="F15" s="8">
        <f>SUM(F13:F14)</f>
        <v>30895.585158600006</v>
      </c>
    </row>
    <row r="17" spans="1:6" x14ac:dyDescent="0.3">
      <c r="A17" s="5" t="s">
        <v>71</v>
      </c>
      <c r="D17" s="9">
        <f>D10-D15</f>
        <v>23195</v>
      </c>
      <c r="E17" s="9">
        <f>E10-E15</f>
        <v>26144.882999999991</v>
      </c>
      <c r="F17" s="9">
        <f>F10-F15</f>
        <v>29861.644533899998</v>
      </c>
    </row>
    <row r="18" spans="1:6" x14ac:dyDescent="0.3">
      <c r="C18" t="s">
        <v>72</v>
      </c>
      <c r="D18" s="13">
        <f>IF(D10=0,0,D17/D10)</f>
        <v>0.48332986038758075</v>
      </c>
      <c r="E18" s="13">
        <f>IF(E10=0,0,E17/E10)</f>
        <v>0.48454695560398564</v>
      </c>
      <c r="F18" s="13">
        <f>IF(F10=0,0,F17/F10)</f>
        <v>0.49149121322735656</v>
      </c>
    </row>
    <row r="20" spans="1:6" x14ac:dyDescent="0.3">
      <c r="A20" s="5" t="s">
        <v>73</v>
      </c>
    </row>
    <row r="21" spans="1:6" x14ac:dyDescent="0.3">
      <c r="B21" s="5" t="s">
        <v>74</v>
      </c>
    </row>
    <row r="22" spans="1:6" x14ac:dyDescent="0.3">
      <c r="C22" t="s">
        <v>75</v>
      </c>
      <c r="D22" s="6">
        <f>'Cost Build'!D20</f>
        <v>2351.5100000000002</v>
      </c>
      <c r="E22" s="6">
        <f>'Cost Build'!E20</f>
        <v>2751.8262524999996</v>
      </c>
      <c r="F22" s="6">
        <f>'Cost Build'!F20</f>
        <v>3098.6187143175002</v>
      </c>
    </row>
    <row r="23" spans="1:6" x14ac:dyDescent="0.3">
      <c r="C23" t="s">
        <v>76</v>
      </c>
      <c r="D23" s="6">
        <f>'Cost Build'!D16</f>
        <v>3900</v>
      </c>
      <c r="E23" s="6">
        <f>'Cost Build'!E16</f>
        <v>4262.5</v>
      </c>
      <c r="F23" s="6">
        <f>'Cost Build'!F16</f>
        <v>4582</v>
      </c>
    </row>
    <row r="24" spans="1:6" x14ac:dyDescent="0.3">
      <c r="B24" s="5" t="s">
        <v>77</v>
      </c>
    </row>
    <row r="25" spans="1:6" x14ac:dyDescent="0.3">
      <c r="C25" t="s">
        <v>78</v>
      </c>
      <c r="D25" s="6">
        <f>'Cost Build'!D21</f>
        <v>1450</v>
      </c>
      <c r="E25" s="6">
        <f>'Cost Build'!E21</f>
        <v>1500</v>
      </c>
      <c r="F25" s="6">
        <f>'Cost Build'!F21</f>
        <v>1560</v>
      </c>
    </row>
    <row r="26" spans="1:6" x14ac:dyDescent="0.3">
      <c r="C26" t="s">
        <v>79</v>
      </c>
      <c r="D26" s="6">
        <f>'Cost Build'!D17</f>
        <v>2700</v>
      </c>
      <c r="E26" s="6">
        <f>'Cost Build'!E17</f>
        <v>2883</v>
      </c>
      <c r="F26" s="6">
        <f>'Cost Build'!F17</f>
        <v>3040</v>
      </c>
    </row>
    <row r="27" spans="1:6" x14ac:dyDescent="0.3">
      <c r="C27" t="s">
        <v>40</v>
      </c>
      <c r="D27" s="7">
        <v>1620</v>
      </c>
      <c r="E27" s="7">
        <v>1780</v>
      </c>
      <c r="F27" s="7">
        <v>1950</v>
      </c>
    </row>
    <row r="28" spans="1:6" x14ac:dyDescent="0.3">
      <c r="C28" t="s">
        <v>80</v>
      </c>
      <c r="D28" s="8">
        <f>SUM(D22:D23)+SUM(D25:D27)</f>
        <v>12021.51</v>
      </c>
      <c r="E28" s="8">
        <f>SUM(E22:E23)+SUM(E25:E27)</f>
        <v>13177.326252499999</v>
      </c>
      <c r="F28" s="8">
        <f>SUM(F22:F23)+SUM(F25:F27)</f>
        <v>14230.618714317501</v>
      </c>
    </row>
    <row r="30" spans="1:6" x14ac:dyDescent="0.3">
      <c r="A30" s="5" t="s">
        <v>81</v>
      </c>
      <c r="D30" s="9">
        <f>D17-D28</f>
        <v>11173.49</v>
      </c>
      <c r="E30" s="9">
        <f>E17-E28</f>
        <v>12967.556747499992</v>
      </c>
      <c r="F30" s="9">
        <f>F17-F28</f>
        <v>15631.025819582497</v>
      </c>
    </row>
    <row r="31" spans="1:6" x14ac:dyDescent="0.3">
      <c r="C31" t="s">
        <v>82</v>
      </c>
      <c r="D31" s="6">
        <f>'Cost Build'!D25</f>
        <v>577.5</v>
      </c>
      <c r="E31" s="6">
        <f>'Cost Build'!E25</f>
        <v>511.5</v>
      </c>
      <c r="F31" s="6">
        <f>'Cost Build'!F25</f>
        <v>440</v>
      </c>
    </row>
    <row r="32" spans="1:6" x14ac:dyDescent="0.3">
      <c r="A32" s="5" t="s">
        <v>83</v>
      </c>
      <c r="D32" s="9">
        <f>D30-D31</f>
        <v>10595.99</v>
      </c>
      <c r="E32" s="9">
        <f>E30-E31</f>
        <v>12456.056747499992</v>
      </c>
      <c r="F32" s="9">
        <f>F30-F31</f>
        <v>15191.025819582497</v>
      </c>
    </row>
    <row r="33" spans="1:6" x14ac:dyDescent="0.3">
      <c r="C33" t="s">
        <v>84</v>
      </c>
      <c r="D33" s="9">
        <f>ROUND(D32*TaxRate,0)</f>
        <v>2649</v>
      </c>
      <c r="E33" s="9">
        <f>ROUND(E32*TaxRate,0)</f>
        <v>3114</v>
      </c>
      <c r="F33" s="9">
        <f>ROUND(F32*TaxRate,0)</f>
        <v>3798</v>
      </c>
    </row>
    <row r="35" spans="1:6" x14ac:dyDescent="0.3">
      <c r="A35" s="5" t="s">
        <v>39</v>
      </c>
      <c r="D35" s="10">
        <f>D32-D33</f>
        <v>7946.99</v>
      </c>
      <c r="E35" s="10">
        <f>E32-E33</f>
        <v>9342.0567474999916</v>
      </c>
      <c r="F35" s="10">
        <f>F32-F33</f>
        <v>11393.025819582497</v>
      </c>
    </row>
    <row r="36" spans="1:6" x14ac:dyDescent="0.3">
      <c r="C36" t="s">
        <v>85</v>
      </c>
      <c r="D36" s="13">
        <f>IF(D10=0,0,D35/D10)</f>
        <v>0.1655967909981246</v>
      </c>
      <c r="E36" s="13">
        <f>IF(E10=0,0,E35/E10)</f>
        <v>0.17313770943556314</v>
      </c>
      <c r="F36" s="13">
        <f>IF(F10=0,0,F35/F10)</f>
        <v>0.187517203750797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3" customWidth="1"/>
    <col min="3" max="3" width="44" customWidth="1"/>
    <col min="4" max="6" width="13" customWidth="1"/>
  </cols>
  <sheetData>
    <row r="1" spans="1:6" ht="18" x14ac:dyDescent="0.35">
      <c r="A1" s="1" t="s">
        <v>0</v>
      </c>
    </row>
    <row r="2" spans="1:6" ht="15.6" x14ac:dyDescent="0.3">
      <c r="A2" s="2" t="s">
        <v>86</v>
      </c>
    </row>
    <row r="3" spans="1:6" x14ac:dyDescent="0.3">
      <c r="A3" s="3" t="s">
        <v>87</v>
      </c>
    </row>
    <row r="5" spans="1:6" x14ac:dyDescent="0.3">
      <c r="D5" s="4" t="s">
        <v>3</v>
      </c>
      <c r="E5" s="4" t="s">
        <v>4</v>
      </c>
      <c r="F5" s="4" t="s">
        <v>5</v>
      </c>
    </row>
    <row r="7" spans="1:6" x14ac:dyDescent="0.3">
      <c r="A7" s="5" t="s">
        <v>88</v>
      </c>
    </row>
    <row r="8" spans="1:6" x14ac:dyDescent="0.3">
      <c r="C8" t="s">
        <v>89</v>
      </c>
      <c r="D8" s="14">
        <f>Assumptions!D8</f>
        <v>95000</v>
      </c>
      <c r="E8" s="14">
        <f>D8*(1+Assumptions!E9)</f>
        <v>103550.00000000001</v>
      </c>
      <c r="F8" s="14">
        <f>E8*(1+Assumptions!F9)</f>
        <v>111834.00000000003</v>
      </c>
    </row>
    <row r="9" spans="1:6" x14ac:dyDescent="0.3">
      <c r="C9" t="s">
        <v>90</v>
      </c>
      <c r="D9" s="15">
        <f>Assumptions!D10</f>
        <v>402</v>
      </c>
      <c r="E9" s="15">
        <f>D9*(1+Assumptions!E11)</f>
        <v>412.04999999999995</v>
      </c>
      <c r="F9" s="15">
        <f>E9*(1+Assumptions!F11)</f>
        <v>422.35124999999994</v>
      </c>
    </row>
    <row r="10" spans="1:6" x14ac:dyDescent="0.3">
      <c r="C10" t="s">
        <v>64</v>
      </c>
      <c r="D10" s="8">
        <f>D8*D9/1000</f>
        <v>38190</v>
      </c>
      <c r="E10" s="8">
        <f>E8*E9/1000</f>
        <v>42667.777499999997</v>
      </c>
      <c r="F10" s="8">
        <f>F8*F9/1000</f>
        <v>47233.229692500005</v>
      </c>
    </row>
    <row r="12" spans="1:6" x14ac:dyDescent="0.3">
      <c r="A12" s="5" t="s">
        <v>65</v>
      </c>
    </row>
    <row r="13" spans="1:6" x14ac:dyDescent="0.3">
      <c r="C13" t="s">
        <v>91</v>
      </c>
      <c r="D13" s="16">
        <f>Assumptions!D12</f>
        <v>140</v>
      </c>
      <c r="E13" s="16">
        <f>D13*(1+Assumptions!E13)</f>
        <v>156.80000000000001</v>
      </c>
      <c r="F13" s="16">
        <f>E13*(1+Assumptions!F13)</f>
        <v>180.32</v>
      </c>
    </row>
    <row r="14" spans="1:6" x14ac:dyDescent="0.3">
      <c r="C14" t="s">
        <v>92</v>
      </c>
      <c r="D14" s="16">
        <f>Assumptions!D14</f>
        <v>70</v>
      </c>
      <c r="E14" s="16">
        <f>Assumptions!E14</f>
        <v>72</v>
      </c>
      <c r="F14" s="16">
        <f>Assumptions!F14</f>
        <v>75</v>
      </c>
    </row>
    <row r="15" spans="1:6" x14ac:dyDescent="0.3">
      <c r="C15" t="s">
        <v>93</v>
      </c>
      <c r="D15" s="8">
        <f>D13*D14</f>
        <v>9800</v>
      </c>
      <c r="E15" s="8">
        <f>E13*E14</f>
        <v>11289.6</v>
      </c>
      <c r="F15" s="8">
        <f>F13*F14</f>
        <v>13524</v>
      </c>
    </row>
    <row r="17" spans="1:6" x14ac:dyDescent="0.3">
      <c r="A17" s="5" t="s">
        <v>66</v>
      </c>
      <c r="D17" s="10">
        <f>D10+D15</f>
        <v>47990</v>
      </c>
      <c r="E17" s="10">
        <f>E10+E15</f>
        <v>53957.377499999995</v>
      </c>
      <c r="F17" s="10">
        <f>F10+F15</f>
        <v>60757.229692500005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3" customWidth="1"/>
    <col min="3" max="3" width="44" customWidth="1"/>
    <col min="4" max="6" width="13" customWidth="1"/>
  </cols>
  <sheetData>
    <row r="1" spans="1:6" ht="18" x14ac:dyDescent="0.35">
      <c r="A1" s="1" t="s">
        <v>0</v>
      </c>
    </row>
    <row r="2" spans="1:6" ht="15.6" x14ac:dyDescent="0.3">
      <c r="A2" s="2" t="s">
        <v>94</v>
      </c>
    </row>
    <row r="3" spans="1:6" x14ac:dyDescent="0.3">
      <c r="A3" s="3" t="s">
        <v>95</v>
      </c>
    </row>
    <row r="5" spans="1:6" x14ac:dyDescent="0.3">
      <c r="D5" s="4" t="s">
        <v>3</v>
      </c>
      <c r="E5" s="4" t="s">
        <v>4</v>
      </c>
      <c r="F5" s="4" t="s">
        <v>5</v>
      </c>
    </row>
    <row r="7" spans="1:6" x14ac:dyDescent="0.3">
      <c r="A7" s="5" t="s">
        <v>67</v>
      </c>
    </row>
    <row r="8" spans="1:6" x14ac:dyDescent="0.3">
      <c r="C8" t="s">
        <v>89</v>
      </c>
      <c r="D8" s="14">
        <f>'Revenue Build'!D8</f>
        <v>95000</v>
      </c>
      <c r="E8" s="14">
        <f>'Revenue Build'!E8</f>
        <v>103550.00000000001</v>
      </c>
      <c r="F8" s="14">
        <f>'Revenue Build'!F8</f>
        <v>111834.00000000003</v>
      </c>
    </row>
    <row r="9" spans="1:6" x14ac:dyDescent="0.3">
      <c r="C9" t="s">
        <v>96</v>
      </c>
      <c r="D9" s="15">
        <f>Assumptions!D17</f>
        <v>181</v>
      </c>
      <c r="E9" s="15">
        <f>D9*(1+Assumptions!E18)</f>
        <v>186.43</v>
      </c>
      <c r="F9" s="15">
        <f>E9*(1+Assumptions!F18)</f>
        <v>192.02290000000002</v>
      </c>
    </row>
    <row r="10" spans="1:6" x14ac:dyDescent="0.3">
      <c r="C10" t="s">
        <v>68</v>
      </c>
      <c r="D10" s="8">
        <f>D8*D9/1000</f>
        <v>17195</v>
      </c>
      <c r="E10" s="8">
        <f>E8*E9/1000</f>
        <v>19304.826500000003</v>
      </c>
      <c r="F10" s="8">
        <f>F8*F9/1000</f>
        <v>21474.688998600006</v>
      </c>
    </row>
    <row r="12" spans="1:6" x14ac:dyDescent="0.3">
      <c r="C12" t="s">
        <v>97</v>
      </c>
      <c r="D12" s="16">
        <f>D8*Assumptions!D19/1000</f>
        <v>76</v>
      </c>
      <c r="E12" s="16">
        <f>E8*Assumptions!E19/1000</f>
        <v>81.804500000000019</v>
      </c>
      <c r="F12" s="16">
        <f>F8*Assumptions!F19/1000</f>
        <v>87.230520000000013</v>
      </c>
    </row>
    <row r="13" spans="1:6" x14ac:dyDescent="0.3">
      <c r="C13" t="s">
        <v>69</v>
      </c>
      <c r="D13" s="17">
        <f>D12*Assumptions!D20</f>
        <v>7600</v>
      </c>
      <c r="E13" s="17">
        <f>E12*Assumptions!E20</f>
        <v>8507.6680000000015</v>
      </c>
      <c r="F13" s="17">
        <f>F12*Assumptions!F20</f>
        <v>9420.8961600000021</v>
      </c>
    </row>
    <row r="15" spans="1:6" x14ac:dyDescent="0.3">
      <c r="A15" s="5" t="s">
        <v>98</v>
      </c>
    </row>
    <row r="16" spans="1:6" x14ac:dyDescent="0.3">
      <c r="C16" t="s">
        <v>76</v>
      </c>
      <c r="D16" s="6">
        <f>Assumptions!D23*Assumptions!D25</f>
        <v>3900</v>
      </c>
      <c r="E16" s="6">
        <f>Assumptions!E23*Assumptions!E25</f>
        <v>4262.5</v>
      </c>
      <c r="F16" s="6">
        <f>Assumptions!F23*Assumptions!F25</f>
        <v>4582</v>
      </c>
    </row>
    <row r="17" spans="1:6" x14ac:dyDescent="0.3">
      <c r="C17" t="s">
        <v>79</v>
      </c>
      <c r="D17" s="6">
        <f>Assumptions!D24*Assumptions!D26</f>
        <v>2700</v>
      </c>
      <c r="E17" s="6">
        <f>Assumptions!E24*Assumptions!E26</f>
        <v>2883</v>
      </c>
      <c r="F17" s="6">
        <f>Assumptions!F24*Assumptions!F26</f>
        <v>3040</v>
      </c>
    </row>
    <row r="19" spans="1:6" x14ac:dyDescent="0.3">
      <c r="A19" s="5" t="s">
        <v>99</v>
      </c>
    </row>
    <row r="20" spans="1:6" x14ac:dyDescent="0.3">
      <c r="C20" t="s">
        <v>75</v>
      </c>
      <c r="D20" s="6">
        <f>'Revenue Build'!D17*Assumptions!D29</f>
        <v>2351.5100000000002</v>
      </c>
      <c r="E20" s="6">
        <f>'Revenue Build'!E17*Assumptions!E29</f>
        <v>2751.8262524999996</v>
      </c>
      <c r="F20" s="6">
        <f>'Revenue Build'!F17*Assumptions!F29</f>
        <v>3098.6187143175002</v>
      </c>
    </row>
    <row r="21" spans="1:6" x14ac:dyDescent="0.3">
      <c r="C21" t="s">
        <v>78</v>
      </c>
      <c r="D21" s="6">
        <f>Assumptions!D30</f>
        <v>1450</v>
      </c>
      <c r="E21" s="6">
        <f>Assumptions!E30</f>
        <v>1500</v>
      </c>
      <c r="F21" s="6">
        <f>Assumptions!F30</f>
        <v>1560</v>
      </c>
    </row>
    <row r="23" spans="1:6" x14ac:dyDescent="0.3">
      <c r="A23" s="5" t="s">
        <v>100</v>
      </c>
    </row>
    <row r="24" spans="1:6" x14ac:dyDescent="0.3">
      <c r="C24" t="s">
        <v>101</v>
      </c>
      <c r="D24" s="6">
        <f>'Balance Sheet'!D26+'Balance Sheet'!D30</f>
        <v>10500</v>
      </c>
      <c r="E24" s="6">
        <f>'Balance Sheet'!E26+'Balance Sheet'!E30</f>
        <v>9300</v>
      </c>
      <c r="F24" s="6">
        <f>'Balance Sheet'!F26+'Balance Sheet'!F30</f>
        <v>8000</v>
      </c>
    </row>
    <row r="25" spans="1:6" x14ac:dyDescent="0.3">
      <c r="C25" t="s">
        <v>82</v>
      </c>
      <c r="D25" s="17">
        <f>D24*Assumptions!D31</f>
        <v>577.5</v>
      </c>
      <c r="E25" s="17">
        <f>E24*Assumptions!E31</f>
        <v>511.5</v>
      </c>
      <c r="F25" s="17">
        <f>F24*Assumptions!F31</f>
        <v>440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3" customWidth="1"/>
    <col min="3" max="3" width="44" customWidth="1"/>
    <col min="4" max="6" width="13" customWidth="1"/>
  </cols>
  <sheetData>
    <row r="1" spans="1:6" ht="18" x14ac:dyDescent="0.35">
      <c r="A1" s="1" t="s">
        <v>0</v>
      </c>
    </row>
    <row r="2" spans="1:6" ht="15.6" x14ac:dyDescent="0.3">
      <c r="A2" s="2" t="s">
        <v>102</v>
      </c>
    </row>
    <row r="3" spans="1:6" x14ac:dyDescent="0.3">
      <c r="A3" s="3" t="s">
        <v>103</v>
      </c>
    </row>
    <row r="5" spans="1:6" x14ac:dyDescent="0.3">
      <c r="D5" s="4" t="s">
        <v>3</v>
      </c>
      <c r="E5" s="4" t="s">
        <v>4</v>
      </c>
      <c r="F5" s="4" t="s">
        <v>5</v>
      </c>
    </row>
    <row r="7" spans="1:6" x14ac:dyDescent="0.3">
      <c r="A7" s="5" t="s">
        <v>104</v>
      </c>
    </row>
    <row r="8" spans="1:6" x14ac:dyDescent="0.3">
      <c r="C8" t="s">
        <v>105</v>
      </c>
      <c r="D8" s="18">
        <v>95000</v>
      </c>
      <c r="E8" s="18"/>
      <c r="F8" s="18"/>
    </row>
    <row r="9" spans="1:6" x14ac:dyDescent="0.3">
      <c r="C9" t="s">
        <v>106</v>
      </c>
      <c r="D9" s="19"/>
      <c r="E9" s="19">
        <v>0.09</v>
      </c>
      <c r="F9" s="19">
        <v>0.08</v>
      </c>
    </row>
    <row r="10" spans="1:6" x14ac:dyDescent="0.3">
      <c r="C10" t="s">
        <v>107</v>
      </c>
      <c r="D10" s="18">
        <v>402</v>
      </c>
      <c r="E10" s="18"/>
      <c r="F10" s="18"/>
    </row>
    <row r="11" spans="1:6" x14ac:dyDescent="0.3">
      <c r="C11" t="s">
        <v>108</v>
      </c>
      <c r="D11" s="19"/>
      <c r="E11" s="19">
        <v>2.5000000000000001E-2</v>
      </c>
      <c r="F11" s="19">
        <v>2.5000000000000001E-2</v>
      </c>
    </row>
    <row r="12" spans="1:6" x14ac:dyDescent="0.3">
      <c r="C12" t="s">
        <v>109</v>
      </c>
      <c r="D12" s="18">
        <v>140</v>
      </c>
      <c r="E12" s="18"/>
      <c r="F12" s="18"/>
    </row>
    <row r="13" spans="1:6" x14ac:dyDescent="0.3">
      <c r="C13" t="s">
        <v>110</v>
      </c>
      <c r="D13" s="19"/>
      <c r="E13" s="19">
        <v>0.12</v>
      </c>
      <c r="F13" s="19">
        <v>0.15</v>
      </c>
    </row>
    <row r="14" spans="1:6" x14ac:dyDescent="0.3">
      <c r="C14" t="s">
        <v>111</v>
      </c>
      <c r="D14" s="20">
        <v>70</v>
      </c>
      <c r="E14" s="20">
        <v>72</v>
      </c>
      <c r="F14" s="20">
        <v>75</v>
      </c>
    </row>
    <row r="16" spans="1:6" x14ac:dyDescent="0.3">
      <c r="A16" s="5" t="s">
        <v>112</v>
      </c>
    </row>
    <row r="17" spans="1:6" x14ac:dyDescent="0.3">
      <c r="C17" t="s">
        <v>113</v>
      </c>
      <c r="D17" s="18">
        <v>181</v>
      </c>
      <c r="E17" s="18"/>
      <c r="F17" s="18"/>
    </row>
    <row r="18" spans="1:6" x14ac:dyDescent="0.3">
      <c r="C18" t="s">
        <v>114</v>
      </c>
      <c r="D18" s="19"/>
      <c r="E18" s="19">
        <v>0.03</v>
      </c>
      <c r="F18" s="19">
        <v>0.03</v>
      </c>
    </row>
    <row r="19" spans="1:6" x14ac:dyDescent="0.3">
      <c r="C19" t="s">
        <v>115</v>
      </c>
      <c r="D19" s="21">
        <v>0.8</v>
      </c>
      <c r="E19" s="21">
        <v>0.79</v>
      </c>
      <c r="F19" s="21">
        <v>0.78</v>
      </c>
    </row>
    <row r="20" spans="1:6" x14ac:dyDescent="0.3">
      <c r="C20" t="s">
        <v>116</v>
      </c>
      <c r="D20" s="18">
        <v>100</v>
      </c>
      <c r="E20" s="18">
        <v>104</v>
      </c>
      <c r="F20" s="18">
        <v>108</v>
      </c>
    </row>
    <row r="22" spans="1:6" x14ac:dyDescent="0.3">
      <c r="A22" s="5" t="s">
        <v>117</v>
      </c>
    </row>
    <row r="23" spans="1:6" x14ac:dyDescent="0.3">
      <c r="C23" t="s">
        <v>118</v>
      </c>
      <c r="D23" s="18">
        <v>52</v>
      </c>
      <c r="E23" s="18">
        <v>55</v>
      </c>
      <c r="F23" s="18">
        <v>58</v>
      </c>
    </row>
    <row r="24" spans="1:6" x14ac:dyDescent="0.3">
      <c r="C24" t="s">
        <v>119</v>
      </c>
      <c r="D24" s="18">
        <v>30</v>
      </c>
      <c r="E24" s="18">
        <v>31</v>
      </c>
      <c r="F24" s="18">
        <v>32</v>
      </c>
    </row>
    <row r="25" spans="1:6" x14ac:dyDescent="0.3">
      <c r="C25" t="s">
        <v>120</v>
      </c>
      <c r="D25" s="20">
        <v>75</v>
      </c>
      <c r="E25" s="20">
        <v>77.5</v>
      </c>
      <c r="F25" s="20">
        <v>79</v>
      </c>
    </row>
    <row r="26" spans="1:6" x14ac:dyDescent="0.3">
      <c r="C26" t="s">
        <v>121</v>
      </c>
      <c r="D26" s="20">
        <v>90</v>
      </c>
      <c r="E26" s="20">
        <v>93</v>
      </c>
      <c r="F26" s="20">
        <v>95</v>
      </c>
    </row>
    <row r="28" spans="1:6" x14ac:dyDescent="0.3">
      <c r="A28" s="5" t="s">
        <v>122</v>
      </c>
    </row>
    <row r="29" spans="1:6" x14ac:dyDescent="0.3">
      <c r="C29" t="s">
        <v>123</v>
      </c>
      <c r="D29" s="19">
        <v>4.9000000000000002E-2</v>
      </c>
      <c r="E29" s="19">
        <v>5.0999999999999997E-2</v>
      </c>
      <c r="F29" s="19">
        <v>5.0999999999999997E-2</v>
      </c>
    </row>
    <row r="30" spans="1:6" x14ac:dyDescent="0.3">
      <c r="C30" t="s">
        <v>124</v>
      </c>
      <c r="D30" s="7">
        <v>1450</v>
      </c>
      <c r="E30" s="7">
        <v>1500</v>
      </c>
      <c r="F30" s="7">
        <v>1560</v>
      </c>
    </row>
    <row r="31" spans="1:6" x14ac:dyDescent="0.3">
      <c r="C31" t="s">
        <v>125</v>
      </c>
      <c r="D31" s="19">
        <v>5.5E-2</v>
      </c>
      <c r="E31" s="19">
        <v>5.5E-2</v>
      </c>
      <c r="F31" s="19">
        <v>5.5E-2</v>
      </c>
    </row>
    <row r="32" spans="1:6" x14ac:dyDescent="0.3">
      <c r="C32" t="s">
        <v>126</v>
      </c>
      <c r="D32" s="22">
        <v>0.25</v>
      </c>
      <c r="E32" s="19"/>
      <c r="F32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Balance Sheet</vt:lpstr>
      <vt:lpstr>Cashflow Statement</vt:lpstr>
      <vt:lpstr>Profit and Loss</vt:lpstr>
      <vt:lpstr>Revenue Build</vt:lpstr>
      <vt:lpstr>Cost Build</vt:lpstr>
      <vt:lpstr>Assumptions</vt:lpstr>
      <vt:lpstr>ClosingCash</vt:lpstr>
      <vt:lpstr>NetProfit</vt:lpstr>
      <vt:lpstr>Revenue</vt:lpstr>
      <vt:lpstr>TaxRate</vt:lpstr>
      <vt:lpstr>TotalAssets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Juihn Oh</cp:lastModifiedBy>
  <dcterms:created xsi:type="dcterms:W3CDTF">2015-06-05T18:17:20Z</dcterms:created>
  <dcterms:modified xsi:type="dcterms:W3CDTF">2026-10-26T13:20:30Z</dcterms:modified>
</cp:coreProperties>
</file>